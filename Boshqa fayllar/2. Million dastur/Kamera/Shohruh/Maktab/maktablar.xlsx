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" i="1" l="1"/>
  <c r="E10" i="1"/>
  <c r="E14" i="1" s="1"/>
  <c r="E15" i="1" s="1"/>
  <c r="E13" i="1"/>
  <c r="C13" i="1"/>
  <c r="C11" i="1"/>
  <c r="E11" i="1"/>
  <c r="E12" i="1"/>
  <c r="E7" i="1"/>
  <c r="E5" i="1"/>
  <c r="E4" i="1"/>
  <c r="E3" i="1"/>
</calcChain>
</file>

<file path=xl/sharedStrings.xml><?xml version="1.0" encoding="utf-8"?>
<sst xmlns="http://schemas.openxmlformats.org/spreadsheetml/2006/main" count="18" uniqueCount="18">
  <si>
    <t>#</t>
  </si>
  <si>
    <t>Nomi</t>
  </si>
  <si>
    <t>Narxi</t>
  </si>
  <si>
    <t>Soni</t>
  </si>
  <si>
    <t>Umumiy qiymati</t>
  </si>
  <si>
    <t>Bajarilgan ishlar</t>
  </si>
  <si>
    <t>Kamera PTZ</t>
  </si>
  <si>
    <t>Kabel</t>
  </si>
  <si>
    <t>Jami:</t>
  </si>
  <si>
    <t>Berildi:</t>
  </si>
  <si>
    <t>Qoldiq</t>
  </si>
  <si>
    <t>Bajarilishi kerak</t>
  </si>
  <si>
    <t>PoeSwitch</t>
  </si>
  <si>
    <t>Ustanovka nastroyka</t>
  </si>
  <si>
    <t>VINT</t>
  </si>
  <si>
    <t>NVR 7604NXI</t>
  </si>
  <si>
    <t>Berilishi kerak</t>
  </si>
  <si>
    <t>Jami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</si>
</sst>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\ _₽_-;\-* #,##0.00\ _₽_-;_-* &quot;-&quot;??\ _₽_-;_-@_-"/>
    <numFmt numFmtId="165" formatCode="_-* #,##0\ _₽_-;\-* #,##0\ _₽_-;_-* &quot;-&quot;??\ _₽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0" fontId="0" fillId="0" borderId="4" xfId="0" applyBorder="1"/>
    <xf numFmtId="0" fontId="2" fillId="0" borderId="3" xfId="0" applyFont="1" applyBorder="1" applyAlignment="1">
      <alignment horizontal="center"/>
    </xf>
    <xf numFmtId="165" fontId="2" fillId="0" borderId="1" xfId="1" applyNumberFormat="1" applyFont="1" applyBorder="1"/>
    <xf numFmtId="165" fontId="2" fillId="0" borderId="2" xfId="1" applyNumberFormat="1" applyFont="1" applyBorder="1"/>
    <xf numFmtId="0" fontId="2" fillId="0" borderId="5" xfId="0" applyFont="1" applyBorder="1" applyAlignment="1">
      <alignment horizontal="right"/>
    </xf>
    <xf numFmtId="0" fontId="2" fillId="0" borderId="6" xfId="0" applyFont="1" applyBorder="1" applyAlignment="1">
      <alignment horizontal="right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tabSelected="1" workbookViewId="0">
      <selection activeCell="E15" sqref="E15"/>
    </sheetView>
  </sheetViews>
  <sheetFormatPr defaultRowHeight="15" x14ac:dyDescent="0.25"/>
  <cols>
    <col min="2" max="2" width="31.85546875" customWidth="1"/>
    <col min="3" max="3" width="17.28515625" customWidth="1"/>
    <col min="5" max="5" width="31.42578125" customWidth="1"/>
    <col min="8" max="8" width="16.5703125" customWidth="1"/>
  </cols>
  <sheetData>
    <row r="1" spans="1:5" ht="18.75" x14ac:dyDescent="0.3">
      <c r="A1" s="1" t="s">
        <v>5</v>
      </c>
      <c r="B1" s="1"/>
      <c r="C1" s="1"/>
      <c r="D1" s="1"/>
      <c r="E1" s="1"/>
    </row>
    <row r="2" spans="1:5" ht="18.75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spans="1:5" ht="18.75" x14ac:dyDescent="0.3">
      <c r="A3" s="2">
        <v>1</v>
      </c>
      <c r="B3" s="2" t="s">
        <v>6</v>
      </c>
      <c r="C3" s="2">
        <v>2500000</v>
      </c>
      <c r="D3" s="2">
        <v>7</v>
      </c>
      <c r="E3" s="7">
        <f>D3*C3</f>
        <v>17500000</v>
      </c>
    </row>
    <row r="4" spans="1:5" ht="18.75" x14ac:dyDescent="0.3">
      <c r="A4" s="2">
        <v>2</v>
      </c>
      <c r="B4" s="2" t="s">
        <v>7</v>
      </c>
      <c r="C4" s="2">
        <v>2000</v>
      </c>
      <c r="D4" s="2">
        <v>500</v>
      </c>
      <c r="E4" s="7">
        <f>D4*C4</f>
        <v>1000000</v>
      </c>
    </row>
    <row r="5" spans="1:5" ht="18.75" x14ac:dyDescent="0.3">
      <c r="A5" s="2"/>
      <c r="B5" s="2"/>
      <c r="C5" s="1" t="s">
        <v>8</v>
      </c>
      <c r="D5" s="1"/>
      <c r="E5" s="7">
        <f>E3+E4</f>
        <v>18500000</v>
      </c>
    </row>
    <row r="6" spans="1:5" ht="18.75" x14ac:dyDescent="0.3">
      <c r="A6" s="2"/>
      <c r="B6" s="2"/>
      <c r="C6" s="1" t="s">
        <v>9</v>
      </c>
      <c r="D6" s="1"/>
      <c r="E6" s="7">
        <v>17500000</v>
      </c>
    </row>
    <row r="7" spans="1:5" ht="18.75" x14ac:dyDescent="0.3">
      <c r="A7" s="3"/>
      <c r="B7" s="3"/>
      <c r="C7" s="4" t="s">
        <v>10</v>
      </c>
      <c r="D7" s="4"/>
      <c r="E7" s="8">
        <f>E5-E6</f>
        <v>1000000</v>
      </c>
    </row>
    <row r="8" spans="1:5" x14ac:dyDescent="0.25">
      <c r="A8" s="5"/>
      <c r="B8" s="5"/>
      <c r="C8" s="5"/>
      <c r="D8" s="5"/>
      <c r="E8" s="5"/>
    </row>
    <row r="9" spans="1:5" ht="18.75" x14ac:dyDescent="0.3">
      <c r="A9" s="6" t="s">
        <v>11</v>
      </c>
      <c r="B9" s="6"/>
      <c r="C9" s="6"/>
      <c r="D9" s="6"/>
      <c r="E9" s="6"/>
    </row>
    <row r="10" spans="1:5" ht="18.75" x14ac:dyDescent="0.3">
      <c r="A10" s="2">
        <v>1</v>
      </c>
      <c r="B10" s="2" t="s">
        <v>15</v>
      </c>
      <c r="C10" s="2">
        <f>60*12000</f>
        <v>720000</v>
      </c>
      <c r="D10" s="2">
        <v>4</v>
      </c>
      <c r="E10" s="7">
        <f>D10*C10</f>
        <v>2880000</v>
      </c>
    </row>
    <row r="11" spans="1:5" ht="18.75" x14ac:dyDescent="0.3">
      <c r="A11" s="2">
        <v>2</v>
      </c>
      <c r="B11" s="2" t="s">
        <v>12</v>
      </c>
      <c r="C11" s="2">
        <f>18*12000</f>
        <v>216000</v>
      </c>
      <c r="D11" s="2">
        <v>4</v>
      </c>
      <c r="E11" s="7">
        <f t="shared" ref="E11:E12" si="0">D11*C11</f>
        <v>864000</v>
      </c>
    </row>
    <row r="12" spans="1:5" ht="18.75" x14ac:dyDescent="0.3">
      <c r="A12" s="2">
        <v>3</v>
      </c>
      <c r="B12" s="2" t="s">
        <v>13</v>
      </c>
      <c r="C12" s="2">
        <v>100000</v>
      </c>
      <c r="D12" s="2">
        <v>4</v>
      </c>
      <c r="E12" s="7">
        <f t="shared" si="0"/>
        <v>400000</v>
      </c>
    </row>
    <row r="13" spans="1:5" ht="18.75" x14ac:dyDescent="0.3">
      <c r="A13" s="2">
        <v>4</v>
      </c>
      <c r="B13" s="2" t="s">
        <v>14</v>
      </c>
      <c r="C13" s="2">
        <f>60*12000</f>
        <v>720000</v>
      </c>
      <c r="D13" s="2">
        <v>4</v>
      </c>
      <c r="E13" s="7">
        <f>D13*C13</f>
        <v>2880000</v>
      </c>
    </row>
    <row r="14" spans="1:5" ht="27" customHeight="1" x14ac:dyDescent="0.3">
      <c r="C14" s="9" t="s">
        <v>17</v>
      </c>
      <c r="D14" s="10"/>
      <c r="E14" s="7">
        <f>E13+E12+E11+E10</f>
        <v>7024000</v>
      </c>
    </row>
    <row r="15" spans="1:5" ht="25.5" customHeight="1" x14ac:dyDescent="0.3">
      <c r="C15" s="9" t="s">
        <v>16</v>
      </c>
      <c r="D15" s="10"/>
      <c r="E15" s="7">
        <f>E14+E7</f>
        <v>8024000</v>
      </c>
    </row>
  </sheetData>
  <mergeCells count="7">
    <mergeCell ref="A1:E1"/>
    <mergeCell ref="C5:D5"/>
    <mergeCell ref="C6:D6"/>
    <mergeCell ref="C7:D7"/>
    <mergeCell ref="A9:E9"/>
    <mergeCell ref="C15:D15"/>
    <mergeCell ref="C14:D14"/>
  </mergeCells>
  <pageMargins left="0.7" right="0.7" top="0.75" bottom="0.75" header="0.3" footer="0.3"/>
  <pageSetup paperSize="9"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2026-05-04T14:10:49Z</dcterms:modified>
</cp:coreProperties>
</file>