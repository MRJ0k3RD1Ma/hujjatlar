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336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7" i="1" s="1"/>
  <c r="H11" i="1"/>
  <c r="H15" i="1" s="1"/>
  <c r="H16" i="1" s="1"/>
</calcChain>
</file>

<file path=xl/sharedStrings.xml><?xml version="1.0" encoding="utf-8"?>
<sst xmlns="http://schemas.openxmlformats.org/spreadsheetml/2006/main" count="33" uniqueCount="31">
  <si>
    <t>#</t>
  </si>
  <si>
    <t>Nomi</t>
  </si>
  <si>
    <t>Face ID o'rnatish</t>
  </si>
  <si>
    <t>Face ID uchun Set kabel harajati</t>
  </si>
  <si>
    <t>Face ID kabellarini berkitish uchun Kabel kanal</t>
  </si>
  <si>
    <t>Face ID ni o'rnatish harajati</t>
  </si>
  <si>
    <t>MNAZORAT dasturi</t>
  </si>
  <si>
    <t>1 yil davomida dasturni va qurilmalarni ishchi holatini ta'minlash</t>
  </si>
  <si>
    <t>MNAZORAT Dasturini o'rnatish va 1 yil davomida ishchi holatini ta'minlash uchun kalkulyatsiya</t>
  </si>
  <si>
    <t>Асосий восита амортизацияси</t>
  </si>
  <si>
    <t>бошка харажатлар 20%</t>
  </si>
  <si>
    <t>ККС 12% имтиёз</t>
  </si>
  <si>
    <t>Иш хаки</t>
  </si>
  <si>
    <t>ижтимоий солик</t>
  </si>
  <si>
    <t xml:space="preserve">рентабеллик даражасини аниклаш формуласи </t>
  </si>
  <si>
    <t>рентабеллик= фойда/ жами харажат x100</t>
  </si>
  <si>
    <t>урнатиш</t>
  </si>
  <si>
    <t>харажат</t>
  </si>
  <si>
    <t>фойда</t>
  </si>
  <si>
    <t>Жами харажатлар :</t>
  </si>
  <si>
    <t>Рентабеллик   18,4 %</t>
  </si>
  <si>
    <t>УРНАТИШ БАХОСИ</t>
  </si>
  <si>
    <t>894000/4856000*100=18,4%</t>
  </si>
  <si>
    <t>Абонент тулови учун калькульяция</t>
  </si>
  <si>
    <t>Дастур ва курилмаларни доимий ишчи холатии таъминлаш</t>
  </si>
  <si>
    <t>Сервер харажатлари</t>
  </si>
  <si>
    <t>иш хаки</t>
  </si>
  <si>
    <t xml:space="preserve">Face ID курилмаси бузилса таъмирлаш </t>
  </si>
  <si>
    <t xml:space="preserve">                                           Narxi (сум)</t>
  </si>
  <si>
    <t>йиллик абонент тулови (сумда)</t>
  </si>
  <si>
    <t>(сум)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</si>
</sst>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2" xfId="0" applyFont="1" applyBorder="1"/>
    <xf numFmtId="0" fontId="3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3" fontId="0" fillId="0" borderId="0" xfId="0" applyNumberFormat="1"/>
    <xf numFmtId="3" fontId="2" fillId="0" borderId="0" xfId="0" applyNumberFormat="1" applyFont="1"/>
    <xf numFmtId="0" fontId="0" fillId="0" borderId="0" xfId="0" applyAlignment="1">
      <alignment horizontal="right"/>
    </xf>
    <xf numFmtId="3" fontId="0" fillId="0" borderId="0" xfId="0" applyNumberFormat="1" applyFill="1" applyBorder="1"/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topLeftCell="A16" workbookViewId="0">
      <selection activeCell="J32" sqref="J32"/>
    </sheetView>
  </sheetViews>
  <sheetFormatPr defaultRowHeight="14.4" x14ac:dyDescent="0.3"/>
  <cols>
    <col min="2" max="2" width="57.33203125" customWidth="1"/>
    <col min="3" max="3" width="29" customWidth="1"/>
  </cols>
  <sheetData>
    <row r="1" spans="1:9" ht="44.4" customHeight="1" x14ac:dyDescent="0.3">
      <c r="A1" s="12" t="s">
        <v>8</v>
      </c>
      <c r="B1" s="12"/>
      <c r="C1" s="12"/>
    </row>
    <row r="2" spans="1:9" x14ac:dyDescent="0.3">
      <c r="A2" s="1" t="s">
        <v>0</v>
      </c>
      <c r="B2" s="1" t="s">
        <v>1</v>
      </c>
      <c r="C2" s="1" t="s">
        <v>28</v>
      </c>
    </row>
    <row r="3" spans="1:9" x14ac:dyDescent="0.3">
      <c r="A3">
        <v>1</v>
      </c>
      <c r="B3" t="s">
        <v>2</v>
      </c>
      <c r="C3">
        <v>1450000</v>
      </c>
    </row>
    <row r="4" spans="1:9" x14ac:dyDescent="0.3">
      <c r="A4">
        <v>2</v>
      </c>
      <c r="B4" t="s">
        <v>3</v>
      </c>
      <c r="C4">
        <v>40000</v>
      </c>
    </row>
    <row r="5" spans="1:9" x14ac:dyDescent="0.3">
      <c r="A5">
        <v>3</v>
      </c>
      <c r="B5" t="s">
        <v>4</v>
      </c>
      <c r="C5">
        <v>40000</v>
      </c>
    </row>
    <row r="6" spans="1:9" x14ac:dyDescent="0.3">
      <c r="A6">
        <v>4</v>
      </c>
      <c r="B6" t="s">
        <v>5</v>
      </c>
      <c r="C6">
        <v>500000</v>
      </c>
    </row>
    <row r="7" spans="1:9" x14ac:dyDescent="0.3">
      <c r="A7">
        <v>5</v>
      </c>
      <c r="B7" t="s">
        <v>6</v>
      </c>
      <c r="C7">
        <v>0</v>
      </c>
    </row>
    <row r="8" spans="1:9" x14ac:dyDescent="0.3">
      <c r="A8">
        <v>6</v>
      </c>
      <c r="B8" t="s">
        <v>7</v>
      </c>
      <c r="C8">
        <v>600000</v>
      </c>
    </row>
    <row r="9" spans="1:9" x14ac:dyDescent="0.3">
      <c r="A9">
        <v>7</v>
      </c>
      <c r="B9" t="s">
        <v>9</v>
      </c>
      <c r="C9">
        <v>0</v>
      </c>
      <c r="H9">
        <v>5750000</v>
      </c>
      <c r="I9" t="s">
        <v>16</v>
      </c>
    </row>
    <row r="10" spans="1:9" x14ac:dyDescent="0.3">
      <c r="A10">
        <v>8</v>
      </c>
      <c r="B10" t="s">
        <v>12</v>
      </c>
      <c r="C10">
        <v>1300000</v>
      </c>
      <c r="H10">
        <v>4856000</v>
      </c>
      <c r="I10" t="s">
        <v>17</v>
      </c>
    </row>
    <row r="11" spans="1:9" x14ac:dyDescent="0.3">
      <c r="A11">
        <v>9</v>
      </c>
      <c r="B11" t="s">
        <v>13</v>
      </c>
      <c r="C11">
        <v>0</v>
      </c>
      <c r="H11">
        <f>H9-H10</f>
        <v>894000</v>
      </c>
      <c r="I11" t="s">
        <v>18</v>
      </c>
    </row>
    <row r="12" spans="1:9" x14ac:dyDescent="0.3">
      <c r="A12">
        <v>10</v>
      </c>
      <c r="B12" t="s">
        <v>10</v>
      </c>
      <c r="C12">
        <v>926000</v>
      </c>
      <c r="H12">
        <v>4856000</v>
      </c>
    </row>
    <row r="13" spans="1:9" x14ac:dyDescent="0.3">
      <c r="A13" s="4">
        <v>11</v>
      </c>
      <c r="B13" s="5" t="s">
        <v>19</v>
      </c>
      <c r="C13" s="5">
        <f>SUM(C3:C12)</f>
        <v>4856000</v>
      </c>
    </row>
    <row r="15" spans="1:9" x14ac:dyDescent="0.3">
      <c r="A15">
        <v>11</v>
      </c>
      <c r="B15" s="6" t="s">
        <v>20</v>
      </c>
      <c r="C15" s="3">
        <v>894000</v>
      </c>
      <c r="H15">
        <f>H11/H12</f>
        <v>0.18410214168039538</v>
      </c>
    </row>
    <row r="16" spans="1:9" x14ac:dyDescent="0.3">
      <c r="A16">
        <v>10</v>
      </c>
      <c r="B16" t="s">
        <v>11</v>
      </c>
      <c r="C16">
        <v>0</v>
      </c>
      <c r="H16">
        <f>H15*100</f>
        <v>18.410214168039538</v>
      </c>
    </row>
    <row r="17" spans="1:4" x14ac:dyDescent="0.3">
      <c r="B17" s="2" t="s">
        <v>21</v>
      </c>
      <c r="C17" s="2">
        <f>C13+C15</f>
        <v>5750000</v>
      </c>
    </row>
    <row r="19" spans="1:4" x14ac:dyDescent="0.3">
      <c r="B19" s="2" t="s">
        <v>14</v>
      </c>
      <c r="C19" s="2" t="s">
        <v>15</v>
      </c>
      <c r="D19" s="2"/>
    </row>
    <row r="21" spans="1:4" x14ac:dyDescent="0.3">
      <c r="C21" s="2" t="s">
        <v>22</v>
      </c>
    </row>
    <row r="24" spans="1:4" x14ac:dyDescent="0.3">
      <c r="B24" s="7" t="s">
        <v>23</v>
      </c>
      <c r="C24" s="10" t="s">
        <v>30</v>
      </c>
    </row>
    <row r="26" spans="1:4" x14ac:dyDescent="0.3">
      <c r="A26">
        <v>1</v>
      </c>
      <c r="B26" t="s">
        <v>24</v>
      </c>
      <c r="C26" s="8">
        <v>88100</v>
      </c>
    </row>
    <row r="27" spans="1:4" x14ac:dyDescent="0.3">
      <c r="A27">
        <v>2</v>
      </c>
      <c r="B27" t="s">
        <v>27</v>
      </c>
      <c r="C27" s="8">
        <v>140500</v>
      </c>
    </row>
    <row r="28" spans="1:4" x14ac:dyDescent="0.3">
      <c r="A28">
        <v>3</v>
      </c>
      <c r="B28" t="s">
        <v>25</v>
      </c>
      <c r="C28" s="8">
        <v>88600</v>
      </c>
    </row>
    <row r="29" spans="1:4" x14ac:dyDescent="0.3">
      <c r="A29">
        <v>4</v>
      </c>
      <c r="B29" t="s">
        <v>26</v>
      </c>
      <c r="C29" s="8">
        <v>172400</v>
      </c>
    </row>
    <row r="30" spans="1:4" x14ac:dyDescent="0.3">
      <c r="B30" s="5" t="s">
        <v>19</v>
      </c>
      <c r="C30" s="9">
        <v>489600</v>
      </c>
    </row>
    <row r="32" spans="1:4" x14ac:dyDescent="0.3">
      <c r="B32" s="6" t="s">
        <v>20</v>
      </c>
      <c r="C32" s="11">
        <v>110400</v>
      </c>
    </row>
    <row r="35" spans="2:3" x14ac:dyDescent="0.3">
      <c r="B35" s="2" t="s">
        <v>29</v>
      </c>
      <c r="C35" s="9">
        <v>600000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</dc:creator>
  <cp:lastModifiedBy>Welcome</cp:lastModifiedBy>
  <dcterms:created xsi:type="dcterms:W3CDTF">2025-10-27T10:28:23Z</dcterms:created>
  <dcterms:modified xsi:type="dcterms:W3CDTF">2025-10-28T04:00:55Z</dcterms:modified>
</cp:coreProperties>
</file>